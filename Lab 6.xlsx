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174bed6bc94522/Desktop/"/>
    </mc:Choice>
  </mc:AlternateContent>
  <xr:revisionPtr revIDLastSave="0" documentId="8_{F5CFE4DF-B4B4-4594-9487-ED9A5CCEA9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H2" i="1"/>
  <c r="H3" i="1"/>
  <c r="H4" i="1"/>
  <c r="H5" i="1"/>
  <c r="H6" i="1"/>
  <c r="H7" i="1"/>
  <c r="H8" i="1"/>
  <c r="H9" i="1"/>
  <c r="H10" i="1"/>
  <c r="H11" i="1"/>
  <c r="H12" i="1"/>
  <c r="G12" i="1"/>
  <c r="G11" i="1"/>
  <c r="G10" i="1"/>
  <c r="G9" i="1"/>
  <c r="G8" i="1"/>
  <c r="G7" i="1"/>
  <c r="G6" i="1"/>
  <c r="G5" i="1"/>
  <c r="G4" i="1"/>
  <c r="G3" i="1"/>
  <c r="G2" i="1"/>
  <c r="M3" i="1"/>
  <c r="M2" i="1"/>
  <c r="D2" i="1"/>
  <c r="D3" i="1"/>
  <c r="D4" i="1"/>
  <c r="D5" i="1"/>
  <c r="D6" i="1"/>
  <c r="D7" i="1"/>
  <c r="D8" i="1"/>
  <c r="D9" i="1"/>
  <c r="D10" i="1"/>
  <c r="D11" i="1"/>
  <c r="D12" i="1"/>
  <c r="J2" i="1"/>
  <c r="J3" i="1"/>
  <c r="J4" i="1"/>
  <c r="J5" i="1"/>
  <c r="J6" i="1"/>
  <c r="J7" i="1"/>
  <c r="J8" i="1"/>
  <c r="J9" i="1"/>
  <c r="J10" i="1"/>
  <c r="J11" i="1"/>
  <c r="J12" i="1"/>
  <c r="K2" i="1" a="1"/>
  <c r="K3" i="1" a="1"/>
  <c r="K4" i="1" a="1"/>
  <c r="K5" i="1" a="1"/>
  <c r="K6" i="1" a="1"/>
  <c r="K7" i="1" a="1"/>
  <c r="K8" i="1" a="1"/>
  <c r="K9" i="1" a="1"/>
  <c r="K10" i="1" a="1"/>
  <c r="K11" i="1" a="1"/>
  <c r="K12" i="1" a="1"/>
  <c r="O7" i="1" a="1"/>
  <c r="L8" i="1"/>
  <c r="L7" i="1"/>
  <c r="L6" i="1"/>
  <c r="P4" i="1"/>
  <c r="P3" i="1"/>
  <c r="P2" i="1"/>
  <c r="M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<sst xmlns="http://schemas.openxmlformats.org/spreadsheetml/2006/main" count="44" uniqueCount="31">
  <si>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</si>
  <si>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</si>
  <si>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</si>
  <si>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</si>
  <si>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</si>
  <si>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</si>
  <si>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</si>
  <si>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</si>
  <si>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</si>
  <si>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</si>
  <si>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</si>
  <si>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</si>
  <si>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</si>
  <si>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</si>
  <si>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</si>
  <si>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</si>
  <si>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</si>
  <si>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SUMIF</t>
  </si>
  <si>
    <t>AVGIF</t>
  </si>
  <si>
    <t>COUNTIF</t>
  </si>
  <si>
    <t>FOR HR</t>
  </si>
  <si>
    <t>FOR IT</t>
  </si>
  <si>
    <t>FOR RAHUL</t>
  </si>
  <si>
    <t>FOR SALES</t>
  </si>
  <si>
    <t>LOGICAL TEST</t>
  </si>
  <si>
    <t>AND</t>
  </si>
  <si>
    <t>OR</t>
  </si>
  <si>
    <t>NOT</t>
  </si>
  <si>
    <t>IFERROR</t>
  </si>
  <si>
    <t>IF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</si>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</sst>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7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/>
      </right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32"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theme="4"/>
        </right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bottom style="thin">
          <color theme="4" tint="0.39994506668294322"/>
        </bottom>
      </border>
    </dxf>
    <dxf>
      <border outline="0">
        <left style="thin">
          <color theme="4"/>
        </left>
        <top style="thin">
          <color theme="4"/>
        </top>
      </border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1"/>
      <tableStyleElement type="headerRow" dxfId="30"/>
      <tableStyleElement type="totalRow" dxfId="29"/>
      <tableStyleElement type="firstColumn" dxfId="28"/>
      <tableStyleElement type="lastColumn" dxfId="27"/>
      <tableStyleElement type="firstRowStripe" dxfId="26"/>
      <tableStyleElement type="firstColumnStripe" dxfId="25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2FCDDA-96C2-4481-B024-D90B59FC012B}" name="Table1" displayName="Table1" ref="A1:K12" totalsRowShown="0" headerRowDxfId="6" dataDxfId="7" headerRowBorderDxfId="13" tableBorderDxfId="14">
  <autoFilter ref="A1:K12" xr:uid="{C82FCDDA-96C2-4481-B024-D90B59FC012B}"/>
  <tableColumns count="11">
    <tableColumn id="1" xr3:uid="{A2D2CF67-E4AF-4AD3-9003-1F2A37754596}" name="Employee" dataDxfId="12"/>
    <tableColumn id="2" xr3:uid="{03F9B718-C68F-44AC-AB58-9B1A74D9102E}" name="Department" dataDxfId="11"/>
    <tableColumn id="3" xr3:uid="{3ECEF3CF-CB52-4A7E-9786-1AA2CC5DB7DB}" name="Salary" dataDxfId="10"/>
    <tableColumn id="8" xr3:uid="{8BB4CAB5-E4B9-4F84-B8E3-4AD44DF04673}" name="IFERROR" dataDxfId="3">
      <calculatedColumnFormula>IFERROR(10/Table1[[#This Row],[Salary]],"Error")</calculatedColumnFormula>
    </tableColumn>
    <tableColumn id="4" xr3:uid="{2E498FDA-1DE4-4B26-A0E2-A2E3F896BAC9}" name="Sales" dataDxfId="9"/>
    <tableColumn id="5" xr3:uid="{755C7F8E-F5C0-4972-B573-BD0154E32911}" name="Performance Score" dataDxfId="8"/>
    <tableColumn id="9" xr3:uid="{F2A7BE6A-4E9E-4832-ACF3-F4CF103B95FD}" name="AND" dataDxfId="2">
      <calculatedColumnFormula>IF(AND(A2="Rahul",B2="Sales"),"YES","NO")</calculatedColumnFormula>
    </tableColumn>
    <tableColumn id="10" xr3:uid="{241D9004-858F-45B4-969A-7241391BFC70}" name="OR" dataDxfId="1">
      <calculatedColumnFormula>IF(OR(B3="HR",A3="Priya"),"YES","NO")</calculatedColumnFormula>
    </tableColumn>
    <tableColumn id="11" xr3:uid="{030259CC-8108-4172-9591-7FB8643B0CEF}" name="NOT" dataDxfId="0">
      <calculatedColumnFormula>IF(NOT(B3="HR"),"TRUE","FALSE")</calculatedColumnFormula>
    </tableColumn>
    <tableColumn id="7" xr3:uid="{5FF0ADEE-5D0D-48F7-8A3E-9E8E22E5E8C6}" name="IF" dataDxfId="4">
      <calculatedColumnFormula>IF(F3&gt;80,"GOOD","BAD")</calculatedColumnFormula>
    </tableColumn>
    <tableColumn id="6" xr3:uid="{A25111F6-5CF4-49CE-AB65-513FC1F1F071}" name="IFS" dataDxfId="5">
      <calculatedColumnFormula array="1">_xlfn.IFS(F2&gt;90,"A",F2&gt;70,"B",F2&gt;50,"C")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zoomScale="78" workbookViewId="0">
      <selection activeCell="K2" sqref="K2"/>
    </sheetView>
  </sheetViews>
  <sheetFormatPr defaultColWidth="8.88671875" defaultRowHeight="14.4"/>
  <cols>
    <col min="1" max="1" width="14" customWidth="1"/>
    <col min="2" max="2" width="15.6640625" customWidth="1"/>
    <col min="3" max="4" width="13.44140625" customWidth="1"/>
    <col min="5" max="5" width="14.21875" customWidth="1"/>
    <col min="6" max="10" width="18.44140625" customWidth="1"/>
    <col min="11" max="11" width="19.44140625" customWidth="1"/>
    <col min="13" max="13" width="9.88671875" customWidth="1"/>
    <col min="15" max="15" width="11.44140625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28</v>
      </c>
      <c r="E1" s="8" t="s">
        <v>3</v>
      </c>
      <c r="F1" s="9" t="s">
        <v>4</v>
      </c>
      <c r="G1" s="9" t="s">
        <v>25</v>
      </c>
      <c r="H1" s="9" t="s">
        <v>26</v>
      </c>
      <c r="I1" s="9" t="s">
        <v>27</v>
      </c>
      <c r="J1" s="9" t="s">
        <v>29</v>
      </c>
      <c r="K1" s="9" t="s">
        <v>30</v>
      </c>
      <c r="M1" s="7" t="s">
        <v>20</v>
      </c>
      <c r="N1" s="7"/>
      <c r="P1" s="7" t="s">
        <v>21</v>
      </c>
      <c r="Q1" s="7"/>
    </row>
    <row r="2" spans="1:17">
      <c r="A2" s="1" t="s">
        <v>5</v>
      </c>
      <c r="B2" s="1" t="s">
        <v>3</v>
      </c>
      <c r="C2" s="1">
        <v>35000</v>
      </c>
      <c r="D2" s="1">
        <f>IFERROR(10/Table1[[#This Row],[Salary]],"Error")</f>
        <v>2.8571428571428574E-4</v>
      </c>
      <c r="E2" s="1">
        <v>85000</v>
      </c>
      <c r="F2" s="2">
        <v>82</v>
      </c>
      <c r="G2" s="10" t="str">
        <f t="shared" ref="G2:G12" si="0">IF(AND(A2="Rahul",B2="Sales"),"YES","NO")</f>
        <v>YES</v>
      </c>
      <c r="H2" s="10" t="str">
        <f t="shared" ref="H2:H12" si="1">IF(OR(B3="HR",A3="Priya"),"YES","NO")</f>
        <v>YES</v>
      </c>
      <c r="I2" s="10" t="str">
        <f t="shared" ref="I2:I12" si="2">IF(NOT(B3="HR"),"TRUE","FALSE")</f>
        <v>FALSE</v>
      </c>
      <c r="J2" s="10" t="str">
        <f t="shared" ref="J2:J12" si="3">IF(F3&gt;80,"GOOD","BAD")</f>
        <v>BAD</v>
      </c>
      <c r="K2" t="str" cm="1">
        <f t="array" ref="K2">_xlfn.IFS(F2&gt;90,"A",F2&gt;70,"B",F2&gt;50,"C")</f>
        <v>B</v>
      </c>
      <c r="L2" t="s">
        <v>17</v>
      </c>
      <c r="M2">
        <f>SUMIF(B2:B12,"HR",E2:E12)</f>
        <v>183000</v>
      </c>
      <c r="O2" t="s">
        <v>17</v>
      </c>
      <c r="P2">
        <f>SUMIF(B2:B12,"IT",E2:E12)</f>
        <v>265000</v>
      </c>
    </row>
    <row r="3" spans="1:17">
      <c r="A3" s="3" t="s">
        <v>6</v>
      </c>
      <c r="B3" s="3" t="s">
        <v>7</v>
      </c>
      <c r="C3" s="3">
        <v>40000</v>
      </c>
      <c r="D3" s="3">
        <f>IFERROR(10/Table1[[#This Row],[Salary]],"Error")</f>
        <v>2.5000000000000001E-4</v>
      </c>
      <c r="E3" s="3">
        <v>60000</v>
      </c>
      <c r="F3" s="4">
        <v>75</v>
      </c>
      <c r="G3" s="11" t="str">
        <f t="shared" si="0"/>
        <v>NO</v>
      </c>
      <c r="H3" s="11" t="str">
        <f t="shared" si="1"/>
        <v>NO</v>
      </c>
      <c r="I3" s="11" t="str">
        <f t="shared" si="2"/>
        <v>TRUE</v>
      </c>
      <c r="J3" s="11" t="str">
        <f t="shared" si="3"/>
        <v>GOOD</v>
      </c>
      <c r="K3" t="str" cm="1">
        <f t="array" ref="K3">_xlfn.IFS(F3&gt;90,"A",F3&gt;70,"B",F3&gt;50,"C")</f>
        <v>B</v>
      </c>
      <c r="L3" t="s">
        <v>18</v>
      </c>
      <c r="M3">
        <f>AVERAGEIF(B2:B12,"HR",E2:E12)</f>
        <v>61000</v>
      </c>
      <c r="O3" t="s">
        <v>18</v>
      </c>
      <c r="P3">
        <f>AVERAGEIF(B2:B12,"IT",E2:E12)</f>
        <v>88333.333333333328</v>
      </c>
    </row>
    <row r="4" spans="1:17">
      <c r="A4" s="1" t="s">
        <v>8</v>
      </c>
      <c r="B4" s="1" t="s">
        <v>3</v>
      </c>
      <c r="C4" s="1">
        <v>45000</v>
      </c>
      <c r="D4" s="1">
        <f>IFERROR(10/Table1[[#This Row],[Salary]],"Error")</f>
        <v>2.2222222222222223E-4</v>
      </c>
      <c r="E4" s="1">
        <v>95000</v>
      </c>
      <c r="F4" s="2">
        <v>91</v>
      </c>
      <c r="G4" s="10" t="str">
        <f t="shared" si="0"/>
        <v>NO</v>
      </c>
      <c r="H4" s="10" t="str">
        <f t="shared" si="1"/>
        <v>NO</v>
      </c>
      <c r="I4" s="10" t="str">
        <f t="shared" si="2"/>
        <v>TRUE</v>
      </c>
      <c r="J4" s="10" t="str">
        <f t="shared" si="3"/>
        <v>GOOD</v>
      </c>
      <c r="K4" t="str" cm="1">
        <f t="array" ref="K4">_xlfn.IFS(F4&gt;90,"A",F4&gt;70,"B",F4&gt;50,"C")</f>
        <v>A</v>
      </c>
      <c r="L4" t="s">
        <v>19</v>
      </c>
      <c r="M4">
        <f>COUNTIF(B2:B12,"HR")</f>
        <v>3</v>
      </c>
      <c r="O4" t="s">
        <v>19</v>
      </c>
      <c r="P4">
        <f>COUNTIF(B2:B12,"IT")</f>
        <v>3</v>
      </c>
    </row>
    <row r="5" spans="1:17">
      <c r="A5" s="3" t="s">
        <v>9</v>
      </c>
      <c r="B5" s="3" t="s">
        <v>10</v>
      </c>
      <c r="C5" s="3">
        <v>50000</v>
      </c>
      <c r="D5" s="3">
        <f>IFERROR(10/Table1[[#This Row],[Salary]],"Error")</f>
        <v>2.0000000000000001E-4</v>
      </c>
      <c r="E5" s="3">
        <v>70000</v>
      </c>
      <c r="F5" s="4">
        <v>88</v>
      </c>
      <c r="G5" s="11" t="str">
        <f t="shared" si="0"/>
        <v>NO</v>
      </c>
      <c r="H5" s="11" t="str">
        <f t="shared" si="1"/>
        <v>NO</v>
      </c>
      <c r="I5" s="11" t="str">
        <f t="shared" si="2"/>
        <v>TRUE</v>
      </c>
      <c r="J5" s="11" t="str">
        <f t="shared" si="3"/>
        <v>BAD</v>
      </c>
      <c r="K5" t="str" cm="1">
        <f t="array" ref="K5">_xlfn.IFS(F5&gt;90,"A",F5&gt;70,"B",F5&gt;50,"C")</f>
        <v>B</v>
      </c>
    </row>
    <row r="6" spans="1:17">
      <c r="A6" s="1" t="s">
        <v>11</v>
      </c>
      <c r="B6" s="1" t="s">
        <v>3</v>
      </c>
      <c r="C6" s="1">
        <v>38000</v>
      </c>
      <c r="D6" s="1">
        <f>IFERROR(10/Table1[[#This Row],[Salary]],"Error")</f>
        <v>2.631578947368421E-4</v>
      </c>
      <c r="E6" s="1">
        <v>78000</v>
      </c>
      <c r="F6" s="2">
        <v>72</v>
      </c>
      <c r="G6" s="10" t="str">
        <f t="shared" si="0"/>
        <v>NO</v>
      </c>
      <c r="H6" s="10" t="str">
        <f t="shared" si="1"/>
        <v>YES</v>
      </c>
      <c r="I6" s="10" t="str">
        <f t="shared" si="2"/>
        <v>FALSE</v>
      </c>
      <c r="J6" s="10" t="str">
        <f t="shared" si="3"/>
        <v>BAD</v>
      </c>
      <c r="K6" t="str" cm="1">
        <f t="array" ref="K6">_xlfn.IFS(F6&gt;90,"A",F6&gt;70,"B",F6&gt;50,"C")</f>
        <v>B</v>
      </c>
      <c r="L6">
        <f>SUMIFS(E2:E12,B2:B12,"SALES")</f>
        <v>415000</v>
      </c>
      <c r="M6" t="s">
        <v>23</v>
      </c>
      <c r="O6" t="s">
        <v>24</v>
      </c>
    </row>
    <row r="7" spans="1:17">
      <c r="A7" s="3" t="s">
        <v>12</v>
      </c>
      <c r="B7" s="3" t="s">
        <v>7</v>
      </c>
      <c r="C7" s="3">
        <v>42000</v>
      </c>
      <c r="D7" s="3">
        <f>IFERROR(10/Table1[[#This Row],[Salary]],"Error")</f>
        <v>2.380952380952381E-4</v>
      </c>
      <c r="E7" s="3">
        <v>65000</v>
      </c>
      <c r="F7" s="4">
        <v>80</v>
      </c>
      <c r="G7" s="11" t="str">
        <f t="shared" si="0"/>
        <v>NO</v>
      </c>
      <c r="H7" s="11" t="str">
        <f t="shared" si="1"/>
        <v>NO</v>
      </c>
      <c r="I7" s="11" t="str">
        <f t="shared" si="2"/>
        <v>TRUE</v>
      </c>
      <c r="J7" s="11" t="str">
        <f t="shared" si="3"/>
        <v>GOOD</v>
      </c>
      <c r="K7" t="str" cm="1">
        <f t="array" ref="K7">_xlfn.IFS(F7&gt;90,"A",F7&gt;70,"B",F7&gt;50,"C")</f>
        <v>B</v>
      </c>
      <c r="L7">
        <f>AVERAGEIFS(E2:E12,A2:A12,"Rahul")</f>
        <v>85000</v>
      </c>
      <c r="M7" s="7" t="s">
        <v>22</v>
      </c>
      <c r="O7" t="str" cm="1">
        <f t="array" ref="O7">IF(F2,"GOOD",BAD)</f>
        <v>GOOD</v>
      </c>
    </row>
    <row r="8" spans="1:17">
      <c r="A8" s="1" t="s">
        <v>13</v>
      </c>
      <c r="B8" s="1" t="s">
        <v>10</v>
      </c>
      <c r="C8" s="1">
        <v>55000</v>
      </c>
      <c r="D8" s="1">
        <f>IFERROR(10/Table1[[#This Row],[Salary]],"Error")</f>
        <v>1.8181818181818181E-4</v>
      </c>
      <c r="E8" s="1">
        <v>105000</v>
      </c>
      <c r="F8" s="2">
        <v>95</v>
      </c>
      <c r="G8" s="10" t="str">
        <f t="shared" si="0"/>
        <v>NO</v>
      </c>
      <c r="H8" s="10" t="str">
        <f t="shared" si="1"/>
        <v>NO</v>
      </c>
      <c r="I8" s="10" t="str">
        <f t="shared" si="2"/>
        <v>TRUE</v>
      </c>
      <c r="J8" s="10" t="str">
        <f t="shared" si="3"/>
        <v>BAD</v>
      </c>
      <c r="K8" t="str" cm="1">
        <f t="array" ref="K8">_xlfn.IFS(F8&gt;90,"A",F8&gt;70,"B",F8&gt;50,"C")</f>
        <v>A</v>
      </c>
      <c r="L8">
        <f>COUNTIFS(A2:A12,"Rahul")</f>
        <v>2</v>
      </c>
      <c r="M8" s="7"/>
    </row>
    <row r="9" spans="1:17">
      <c r="A9" s="3" t="s">
        <v>14</v>
      </c>
      <c r="B9" s="3" t="s">
        <v>3</v>
      </c>
      <c r="C9" s="3">
        <v>36000</v>
      </c>
      <c r="D9" s="3">
        <f>IFERROR(10/Table1[[#This Row],[Salary]],"Error")</f>
        <v>2.7777777777777778E-4</v>
      </c>
      <c r="E9" s="3">
        <v>72000</v>
      </c>
      <c r="F9" s="4">
        <v>68</v>
      </c>
      <c r="G9" s="11" t="str">
        <f t="shared" si="0"/>
        <v>NO</v>
      </c>
      <c r="H9" s="11" t="str">
        <f t="shared" si="1"/>
        <v>NO</v>
      </c>
      <c r="I9" s="11" t="str">
        <f t="shared" si="2"/>
        <v>TRUE</v>
      </c>
      <c r="J9" s="11" t="str">
        <f t="shared" si="3"/>
        <v>GOOD</v>
      </c>
      <c r="K9" t="str" cm="1">
        <f t="array" ref="K9">_xlfn.IFS(F9&gt;90,"A",F9&gt;70,"B",F9&gt;50,"C")</f>
        <v>C</v>
      </c>
    </row>
    <row r="10" spans="1:17">
      <c r="A10" s="1" t="s">
        <v>15</v>
      </c>
      <c r="B10" s="1" t="s">
        <v>10</v>
      </c>
      <c r="C10" s="1">
        <v>48000</v>
      </c>
      <c r="D10" s="1">
        <f>IFERROR(10/Table1[[#This Row],[Salary]],"Error")</f>
        <v>2.0833333333333335E-4</v>
      </c>
      <c r="E10" s="1">
        <v>90000</v>
      </c>
      <c r="F10" s="2">
        <v>85</v>
      </c>
      <c r="G10" s="10" t="str">
        <f t="shared" si="0"/>
        <v>NO</v>
      </c>
      <c r="H10" s="10" t="str">
        <f t="shared" si="1"/>
        <v>YES</v>
      </c>
      <c r="I10" s="10" t="str">
        <f t="shared" si="2"/>
        <v>FALSE</v>
      </c>
      <c r="J10" s="10" t="str">
        <f t="shared" si="3"/>
        <v>BAD</v>
      </c>
      <c r="K10" t="str" cm="1">
        <f t="array" ref="K10">_xlfn.IFS(F10&gt;90,"A",F10&gt;70,"B",F10&gt;50,"C")</f>
        <v>B</v>
      </c>
    </row>
    <row r="11" spans="1:17">
      <c r="A11" s="3" t="s">
        <v>16</v>
      </c>
      <c r="B11" s="3" t="s">
        <v>7</v>
      </c>
      <c r="C11" s="3">
        <v>39000</v>
      </c>
      <c r="D11" s="3">
        <f>IFERROR(10/Table1[[#This Row],[Salary]],"Error")</f>
        <v>2.5641025641025641E-4</v>
      </c>
      <c r="E11" s="3">
        <v>58000</v>
      </c>
      <c r="F11" s="4">
        <v>70</v>
      </c>
      <c r="G11" s="11" t="str">
        <f t="shared" si="0"/>
        <v>NO</v>
      </c>
      <c r="H11" s="11" t="str">
        <f t="shared" si="1"/>
        <v>NO</v>
      </c>
      <c r="I11" s="11" t="str">
        <f t="shared" si="2"/>
        <v>TRUE</v>
      </c>
      <c r="J11" s="11" t="str">
        <f t="shared" si="3"/>
        <v>GOOD</v>
      </c>
      <c r="K11" t="str" cm="1">
        <f t="array" ref="K11">_xlfn.IFS(F11&gt;90,"A",F11&gt;70,"B",F11&gt;50,"C")</f>
        <v>C</v>
      </c>
    </row>
    <row r="12" spans="1:17">
      <c r="A12" s="5" t="s">
        <v>5</v>
      </c>
      <c r="B12" s="5" t="s">
        <v>3</v>
      </c>
      <c r="C12" s="5">
        <v>0</v>
      </c>
      <c r="D12" s="5" t="str">
        <f>IFERROR(10/Table1[[#This Row],[Salary]],"Error")</f>
        <v>Error</v>
      </c>
      <c r="E12" s="5">
        <v>85000</v>
      </c>
      <c r="F12" s="6">
        <v>82</v>
      </c>
      <c r="G12" s="10" t="str">
        <f t="shared" si="0"/>
        <v>YES</v>
      </c>
      <c r="H12" s="10" t="str">
        <f t="shared" si="1"/>
        <v>NO</v>
      </c>
      <c r="I12" s="10" t="str">
        <f t="shared" si="2"/>
        <v>TRUE</v>
      </c>
      <c r="J12" s="10" t="str">
        <f t="shared" si="3"/>
        <v>BAD</v>
      </c>
      <c r="K12" t="str" cm="1">
        <f t="array" ref="K12">_xlfn.IFS(F12&gt;90,"A",F12&gt;70,"B",F12&gt;50,"C")</f>
        <v>B</v>
      </c>
    </row>
  </sheetData>
  <mergeCells count="3">
    <mergeCell ref="M1:N1"/>
    <mergeCell ref="P1:Q1"/>
    <mergeCell ref="M7:M8"/>
  </mergeCells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Shrawani Raut</cp:lastModifiedBy>
  <dcterms:created xsi:type="dcterms:W3CDTF">2026-10-07T04:46:25Z</dcterms:created>
  <dcterms:modified xsi:type="dcterms:W3CDTF">2026-10-15T09:23:46Z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C966600769CA478EBCBC0AC4EC9F96A9_11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